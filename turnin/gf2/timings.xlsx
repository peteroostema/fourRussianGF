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60" yWindow="100" windowWidth="17380" windowHeight="149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H61" i="1"/>
  <c r="G61"/>
  <c r="F61"/>
  <c r="E61"/>
  <c r="D61"/>
  <c r="H59"/>
  <c r="G59"/>
  <c r="F59"/>
  <c r="E59"/>
  <c r="D59"/>
  <c r="C61"/>
  <c r="C59"/>
  <c r="H60"/>
  <c r="G60"/>
  <c r="F60"/>
  <c r="E60"/>
  <c r="D60"/>
  <c r="C60"/>
  <c r="B61"/>
  <c r="B60"/>
  <c r="B59"/>
  <c r="H35"/>
  <c r="G29"/>
  <c r="G31"/>
  <c r="F31"/>
  <c r="G32"/>
  <c r="B55"/>
  <c r="B56"/>
  <c r="H55"/>
  <c r="H56"/>
  <c r="G55"/>
  <c r="G56"/>
  <c r="F55"/>
  <c r="F56"/>
  <c r="E55"/>
  <c r="E56"/>
  <c r="D55"/>
  <c r="D56"/>
  <c r="C55"/>
  <c r="C56"/>
  <c r="H49"/>
  <c r="G49"/>
  <c r="F49"/>
  <c r="E49"/>
  <c r="D49"/>
  <c r="C49"/>
  <c r="B49"/>
  <c r="H48"/>
  <c r="G48"/>
  <c r="F48"/>
  <c r="E48"/>
  <c r="D48"/>
  <c r="C48"/>
  <c r="B48"/>
  <c r="H42"/>
  <c r="G42"/>
  <c r="F42"/>
  <c r="E42"/>
  <c r="D42"/>
  <c r="C42"/>
  <c r="B42"/>
  <c r="H41"/>
  <c r="G41"/>
  <c r="F41"/>
  <c r="E41"/>
  <c r="D41"/>
  <c r="C41"/>
  <c r="B41"/>
  <c r="G28"/>
  <c r="G26"/>
  <c r="G25"/>
  <c r="E26"/>
  <c r="E25"/>
  <c r="F26"/>
  <c r="F25"/>
  <c r="F17"/>
  <c r="F16"/>
  <c r="E17"/>
  <c r="E16"/>
  <c r="D16"/>
  <c r="D17"/>
  <c r="G7"/>
  <c r="G8"/>
  <c r="F7"/>
  <c r="F8"/>
  <c r="E7"/>
  <c r="E8"/>
  <c r="D7"/>
  <c r="D8"/>
  <c r="B7"/>
  <c r="B8"/>
  <c r="C7"/>
  <c r="C8"/>
</calcChain>
</file>

<file path=xl/sharedStrings.xml><?xml version="1.0" encoding="utf-8"?>
<sst xmlns="http://schemas.openxmlformats.org/spreadsheetml/2006/main" count="68" uniqueCount="25">
  <si>
    <t>Matrix Size</t>
    <phoneticPr fontId="1" type="noConversion"/>
  </si>
  <si>
    <t>Average Time</t>
    <phoneticPr fontId="1" type="noConversion"/>
  </si>
  <si>
    <t>32 x 32</t>
    <phoneticPr fontId="1" type="noConversion"/>
  </si>
  <si>
    <t>Times (sec)</t>
    <phoneticPr fontId="1" type="noConversion"/>
  </si>
  <si>
    <t>64 x 64</t>
    <phoneticPr fontId="1" type="noConversion"/>
  </si>
  <si>
    <t>256 x 256</t>
    <phoneticPr fontId="1" type="noConversion"/>
  </si>
  <si>
    <t>1024 x 1024</t>
    <phoneticPr fontId="1" type="noConversion"/>
  </si>
  <si>
    <t>4096 x 4096</t>
    <phoneticPr fontId="1" type="noConversion"/>
  </si>
  <si>
    <t>16384 x 16384</t>
    <phoneticPr fontId="1" type="noConversion"/>
  </si>
  <si>
    <t>GBitops/sec</t>
    <phoneticPr fontId="1" type="noConversion"/>
  </si>
  <si>
    <t>1000 x 1000</t>
    <phoneticPr fontId="1" type="noConversion"/>
  </si>
  <si>
    <t>1040 x 1040</t>
    <phoneticPr fontId="1" type="noConversion"/>
  </si>
  <si>
    <t>4090 x 4090</t>
    <phoneticPr fontId="1" type="noConversion"/>
  </si>
  <si>
    <t>5000 x 5000</t>
    <phoneticPr fontId="1" type="noConversion"/>
  </si>
  <si>
    <t>AVX2 Times</t>
    <phoneticPr fontId="1" type="noConversion"/>
  </si>
  <si>
    <t>Max Theoretical</t>
    <phoneticPr fontId="1" type="noConversion"/>
  </si>
  <si>
    <t>T row major</t>
    <phoneticPr fontId="1" type="noConversion"/>
  </si>
  <si>
    <t>8192x8192</t>
    <phoneticPr fontId="1" type="noConversion"/>
  </si>
  <si>
    <t>major</t>
    <phoneticPr fontId="1" type="noConversion"/>
  </si>
  <si>
    <t>T more column</t>
    <phoneticPr fontId="1" type="noConversion"/>
  </si>
  <si>
    <t>Rearrange N as</t>
    <phoneticPr fontId="1" type="noConversion"/>
  </si>
  <si>
    <t>primary loop</t>
    <phoneticPr fontId="1" type="noConversion"/>
  </si>
  <si>
    <t xml:space="preserve">New Gbitops/s </t>
    <phoneticPr fontId="1" type="noConversion"/>
  </si>
  <si>
    <t>respective to</t>
    <phoneticPr fontId="1" type="noConversion"/>
  </si>
  <si>
    <t>above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</si>
</sst>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61"/>
  <sheetViews>
    <sheetView tabSelected="1" view="pageLayout" topLeftCell="A20" workbookViewId="0">
      <selection activeCell="H61" sqref="H61"/>
    </sheetView>
  </sheetViews>
  <sheetFormatPr baseColWidth="10" defaultRowHeight="13"/>
  <cols>
    <col min="1" max="1" width="12.42578125" customWidth="1"/>
    <col min="2" max="2" width="11" bestFit="1" customWidth="1"/>
    <col min="3" max="3" width="11.28515625" bestFit="1" customWidth="1"/>
    <col min="7" max="7" width="11.5703125" customWidth="1"/>
    <col min="8" max="8" width="12.7109375" customWidth="1"/>
  </cols>
  <sheetData>
    <row r="1" spans="1:7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3</v>
      </c>
      <c r="B2">
        <v>1.8E-5</v>
      </c>
      <c r="C2">
        <v>7.2999999999999999E-5</v>
      </c>
      <c r="D2">
        <v>9.8999999999999999E-4</v>
      </c>
      <c r="E2">
        <v>2.1870000000000001E-2</v>
      </c>
      <c r="F2">
        <v>0.65608500000000003</v>
      </c>
      <c r="G2">
        <v>34.877899999999997</v>
      </c>
    </row>
    <row r="3" spans="1:7">
      <c r="B3">
        <v>1.8E-5</v>
      </c>
      <c r="C3">
        <v>6.6000000000000005E-5</v>
      </c>
      <c r="D3">
        <v>1.0139999999999999E-3</v>
      </c>
      <c r="E3">
        <v>1.8657E-2</v>
      </c>
      <c r="F3">
        <v>0.658972</v>
      </c>
      <c r="G3">
        <v>34.344799999999999</v>
      </c>
    </row>
    <row r="4" spans="1:7">
      <c r="B4">
        <v>1.8E-5</v>
      </c>
      <c r="C4">
        <v>6.4999999999999994E-5</v>
      </c>
      <c r="D4">
        <v>9.8400000000000007E-4</v>
      </c>
      <c r="E4">
        <v>1.8402000000000002E-2</v>
      </c>
      <c r="F4">
        <v>0.64466000000000001</v>
      </c>
    </row>
    <row r="5" spans="1:7">
      <c r="B5">
        <v>1.8E-5</v>
      </c>
      <c r="C5">
        <v>7.4999999999999993E-5</v>
      </c>
      <c r="D5">
        <v>1.062E-3</v>
      </c>
      <c r="E5">
        <v>1.8402000000000002E-2</v>
      </c>
      <c r="F5">
        <v>0.66146499999999997</v>
      </c>
    </row>
    <row r="6" spans="1:7">
      <c r="B6">
        <v>1.8E-5</v>
      </c>
      <c r="C6">
        <v>6.4999999999999994E-5</v>
      </c>
      <c r="D6">
        <v>1.075E-3</v>
      </c>
      <c r="E6">
        <v>1.9573E-2</v>
      </c>
      <c r="F6">
        <v>0.65104600000000001</v>
      </c>
    </row>
    <row r="7" spans="1:7">
      <c r="A7" t="s">
        <v>1</v>
      </c>
      <c r="B7">
        <f t="shared" ref="B7:G7" si="0">AVERAGE(B2:B6)</f>
        <v>1.8E-5</v>
      </c>
      <c r="C7">
        <f t="shared" si="0"/>
        <v>6.8800000000000005E-5</v>
      </c>
      <c r="D7">
        <f t="shared" si="0"/>
        <v>1.0249999999999999E-3</v>
      </c>
      <c r="E7">
        <f t="shared" si="0"/>
        <v>1.9380800000000004E-2</v>
      </c>
      <c r="F7">
        <f t="shared" si="0"/>
        <v>0.65444560000000007</v>
      </c>
      <c r="G7">
        <f t="shared" si="0"/>
        <v>34.611350000000002</v>
      </c>
    </row>
    <row r="8" spans="1:7">
      <c r="A8" t="s">
        <v>9</v>
      </c>
      <c r="B8">
        <f>(2*32^3)/B7/1000000000</f>
        <v>3.6408888888888886</v>
      </c>
      <c r="C8">
        <f>(2*64^3)/C7/1000000000</f>
        <v>7.6204651162790693</v>
      </c>
      <c r="D8">
        <f>(2*256^3)/D7/1000000000</f>
        <v>32.736031219512199</v>
      </c>
      <c r="E8">
        <f>(2*1024^3)/E7/1000000000</f>
        <v>110.80469578139187</v>
      </c>
      <c r="F8">
        <f>(2*4096^3)/F7/1000000000</f>
        <v>210.00821683574617</v>
      </c>
      <c r="G8">
        <f>(2*16384^3)/G7/1000000000</f>
        <v>254.13897528435035</v>
      </c>
    </row>
    <row r="10" spans="1:7">
      <c r="A10" t="s">
        <v>0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3</v>
      </c>
      <c r="D11">
        <v>1.9900000000000001E-2</v>
      </c>
      <c r="E11">
        <v>2.0409E-2</v>
      </c>
      <c r="F11">
        <v>0.65652600000000005</v>
      </c>
    </row>
    <row r="12" spans="1:7">
      <c r="D12">
        <v>2.0395E-2</v>
      </c>
      <c r="E12">
        <v>0.21084</v>
      </c>
      <c r="F12">
        <v>0.65135299999999996</v>
      </c>
    </row>
    <row r="13" spans="1:7">
      <c r="D13">
        <v>1.8290000000000001E-2</v>
      </c>
      <c r="E13">
        <v>1.9951E-2</v>
      </c>
      <c r="F13">
        <v>0.64941400000000005</v>
      </c>
    </row>
    <row r="14" spans="1:7">
      <c r="D14">
        <v>1.9193000000000002E-2</v>
      </c>
      <c r="E14">
        <v>2.0402E-2</v>
      </c>
      <c r="F14">
        <v>0.65576100000000004</v>
      </c>
    </row>
    <row r="15" spans="1:7">
      <c r="D15">
        <v>2.0645E-2</v>
      </c>
      <c r="E15">
        <v>1.882E-2</v>
      </c>
      <c r="F15">
        <v>0.65366800000000003</v>
      </c>
    </row>
    <row r="16" spans="1:7">
      <c r="A16" t="s">
        <v>1</v>
      </c>
      <c r="D16">
        <f>AVERAGE(D11:D15)</f>
        <v>1.96846E-2</v>
      </c>
      <c r="E16">
        <f>AVERAGE(E11:E15)</f>
        <v>5.8084400000000001E-2</v>
      </c>
      <c r="F16">
        <f>AVERAGE(F11:F15)</f>
        <v>0.65334440000000005</v>
      </c>
    </row>
    <row r="17" spans="1:7">
      <c r="A17" t="s">
        <v>9</v>
      </c>
      <c r="D17">
        <f>(2*1000^3)/D16/1000000000</f>
        <v>101.60226776261645</v>
      </c>
      <c r="E17">
        <f>(2*1040^3)/E16/1000000000</f>
        <v>38.732051979533232</v>
      </c>
      <c r="F17">
        <f>(2*4090^3)/F16/1000000000</f>
        <v>209.43909215415329</v>
      </c>
    </row>
    <row r="19" spans="1:7">
      <c r="A19" t="s">
        <v>14</v>
      </c>
      <c r="E19" t="s">
        <v>6</v>
      </c>
      <c r="F19" t="s">
        <v>7</v>
      </c>
      <c r="G19" t="s">
        <v>8</v>
      </c>
    </row>
    <row r="20" spans="1:7">
      <c r="A20" t="s">
        <v>3</v>
      </c>
      <c r="E20">
        <v>4.1079999999999997E-3</v>
      </c>
      <c r="F20">
        <v>0.18473899999999999</v>
      </c>
      <c r="G20">
        <v>10.654135</v>
      </c>
    </row>
    <row r="25" spans="1:7">
      <c r="A25" t="s">
        <v>1</v>
      </c>
      <c r="E25">
        <f t="shared" ref="E25:G25" si="1">AVERAGE(E20:E24)</f>
        <v>4.1079999999999997E-3</v>
      </c>
      <c r="F25">
        <f t="shared" si="1"/>
        <v>0.18473899999999999</v>
      </c>
      <c r="G25">
        <f t="shared" si="1"/>
        <v>10.654135</v>
      </c>
    </row>
    <row r="26" spans="1:7">
      <c r="A26" t="s">
        <v>9</v>
      </c>
      <c r="E26">
        <f>(2*1024^3)/E25/1000000000</f>
        <v>522.75648685491728</v>
      </c>
      <c r="F26">
        <f>(2*4096^3)/F25/1000000000</f>
        <v>743.96285284644819</v>
      </c>
      <c r="G26">
        <f>(2*16384^3)/G25/1000000000</f>
        <v>825.60367615090297</v>
      </c>
    </row>
    <row r="28" spans="1:7">
      <c r="A28" t="s">
        <v>9</v>
      </c>
      <c r="G28">
        <f>(2*16384^3)/6.336/1000000000</f>
        <v>1388.2722572929292</v>
      </c>
    </row>
    <row r="29" spans="1:7">
      <c r="A29" t="s">
        <v>15</v>
      </c>
      <c r="G29">
        <f>2*256*2.8</f>
        <v>1433.6</v>
      </c>
    </row>
    <row r="31" spans="1:7">
      <c r="F31">
        <f>(2*4090^3)/0.043/1000000000</f>
        <v>3182.2292558139534</v>
      </c>
      <c r="G31">
        <f>(2*16384^3/8)/3.1/1000000000</f>
        <v>354.68117025032257</v>
      </c>
    </row>
    <row r="32" spans="1:7">
      <c r="G32">
        <f>(2*16384^3)/5.5/1000000000</f>
        <v>1599.2896404014546</v>
      </c>
    </row>
    <row r="34" spans="1:8">
      <c r="H34">
        <v>2.6999999999999999E-5</v>
      </c>
    </row>
    <row r="35" spans="1:8">
      <c r="H35">
        <f>(2*4*64*65536/8)/H34/1000000000</f>
        <v>155.34459259259259</v>
      </c>
    </row>
    <row r="37" spans="1:8">
      <c r="A37" t="s">
        <v>16</v>
      </c>
    </row>
    <row r="38" spans="1:8">
      <c r="A38" t="s">
        <v>0</v>
      </c>
      <c r="B38" t="s">
        <v>2</v>
      </c>
      <c r="C38" t="s">
        <v>4</v>
      </c>
      <c r="D38" t="s">
        <v>5</v>
      </c>
      <c r="E38" t="s">
        <v>6</v>
      </c>
      <c r="F38" t="s">
        <v>7</v>
      </c>
      <c r="G38" t="s">
        <v>17</v>
      </c>
      <c r="H38" t="s">
        <v>8</v>
      </c>
    </row>
    <row r="39" spans="1:8">
      <c r="A39" t="s">
        <v>3</v>
      </c>
      <c r="B39">
        <v>2.3E-5</v>
      </c>
      <c r="C39">
        <v>6.3999999999999997E-5</v>
      </c>
      <c r="D39">
        <v>1.7699999999999999E-4</v>
      </c>
      <c r="E39">
        <v>3.405E-3</v>
      </c>
      <c r="F39">
        <v>0.123739</v>
      </c>
      <c r="G39">
        <v>0.89946300000000001</v>
      </c>
      <c r="H39">
        <v>6.7897489999999996</v>
      </c>
    </row>
    <row r="40" spans="1:8">
      <c r="B40">
        <v>2.0999999999999999E-5</v>
      </c>
      <c r="C40">
        <v>6.3999999999999997E-5</v>
      </c>
      <c r="D40">
        <v>1.76E-4</v>
      </c>
      <c r="E40">
        <v>3.4550000000000002E-3</v>
      </c>
      <c r="F40">
        <v>0.11360000000000001</v>
      </c>
      <c r="G40">
        <v>0.87481299999999995</v>
      </c>
      <c r="H40">
        <v>6.3831629999999997</v>
      </c>
    </row>
    <row r="41" spans="1:8">
      <c r="A41" t="s">
        <v>1</v>
      </c>
      <c r="B41">
        <f>AVERAGE(B39:B40)</f>
        <v>2.1999999999999999E-5</v>
      </c>
      <c r="C41">
        <f t="shared" ref="C41:H41" si="2">AVERAGE(C39:C40)</f>
        <v>6.3999999999999997E-5</v>
      </c>
      <c r="D41">
        <f t="shared" si="2"/>
        <v>1.7650000000000001E-4</v>
      </c>
      <c r="E41">
        <f t="shared" si="2"/>
        <v>3.4299999999999999E-3</v>
      </c>
      <c r="F41">
        <f t="shared" si="2"/>
        <v>0.11866950000000001</v>
      </c>
      <c r="G41">
        <f t="shared" si="2"/>
        <v>0.88713799999999998</v>
      </c>
      <c r="H41">
        <f t="shared" si="2"/>
        <v>6.5864560000000001</v>
      </c>
    </row>
    <row r="42" spans="1:8">
      <c r="A42" t="s">
        <v>9</v>
      </c>
      <c r="B42">
        <f t="shared" ref="B42:H42" si="3">(2*32^3)/B41/1000000000</f>
        <v>2.9789090909090912</v>
      </c>
      <c r="C42">
        <f t="shared" ref="C42:H42" si="4">(2*64^3)/C41/1000000000</f>
        <v>8.1920000000000002</v>
      </c>
      <c r="D42">
        <f t="shared" ref="D42:H42" si="5">(2*256^3)/D41/1000000000</f>
        <v>190.11009631728047</v>
      </c>
      <c r="E42">
        <f t="shared" ref="E42:H42" si="6">(2*1024^3)/E41/1000000000</f>
        <v>626.08852711370264</v>
      </c>
      <c r="F42">
        <f t="shared" ref="F42:H42" si="7">(2*4096^3)/F41/1000000000</f>
        <v>1158.165775300309</v>
      </c>
      <c r="G42">
        <f>(2*8192^3)/G41/1000000000</f>
        <v>1239.3918733906112</v>
      </c>
      <c r="H42">
        <f>(2*16384^3)/H41/1000000000</f>
        <v>1335.4819378142054</v>
      </c>
    </row>
    <row r="43" spans="1:8">
      <c r="A43" t="s">
        <v>19</v>
      </c>
    </row>
    <row r="44" spans="1:8">
      <c r="A44" t="s">
        <v>18</v>
      </c>
    </row>
    <row r="45" spans="1:8">
      <c r="A45" t="s">
        <v>0</v>
      </c>
      <c r="B45" t="s">
        <v>2</v>
      </c>
      <c r="C45" t="s">
        <v>4</v>
      </c>
      <c r="D45" t="s">
        <v>5</v>
      </c>
      <c r="E45" t="s">
        <v>6</v>
      </c>
      <c r="F45" t="s">
        <v>7</v>
      </c>
      <c r="G45" t="s">
        <v>17</v>
      </c>
      <c r="H45" t="s">
        <v>8</v>
      </c>
    </row>
    <row r="46" spans="1:8">
      <c r="A46" t="s">
        <v>3</v>
      </c>
      <c r="B46">
        <v>2.3E-5</v>
      </c>
      <c r="C46">
        <v>7.1000000000000005E-5</v>
      </c>
      <c r="D46">
        <v>1.8100000000000001E-4</v>
      </c>
      <c r="E46">
        <v>3.7859999999999999E-3</v>
      </c>
      <c r="F46">
        <v>0.13721700000000001</v>
      </c>
      <c r="G46">
        <v>1.2328049999999999</v>
      </c>
      <c r="H46">
        <v>10.428426</v>
      </c>
    </row>
    <row r="47" spans="1:8">
      <c r="B47">
        <v>2.1999999999999999E-5</v>
      </c>
      <c r="C47">
        <v>7.6000000000000004E-5</v>
      </c>
      <c r="D47">
        <v>1.9900000000000001E-4</v>
      </c>
      <c r="E47">
        <v>3.8070000000000001E-3</v>
      </c>
      <c r="F47">
        <v>0.14463599999999999</v>
      </c>
      <c r="G47">
        <v>1.2227920000000001</v>
      </c>
      <c r="H47">
        <v>10.383168</v>
      </c>
    </row>
    <row r="48" spans="1:8">
      <c r="A48" t="s">
        <v>1</v>
      </c>
      <c r="B48">
        <f>AVERAGE(B46:B47)</f>
        <v>2.2499999999999998E-5</v>
      </c>
      <c r="C48">
        <f t="shared" ref="C48" si="8">AVERAGE(C46:C47)</f>
        <v>7.3499999999999998E-5</v>
      </c>
      <c r="D48">
        <f t="shared" ref="D48" si="9">AVERAGE(D46:D47)</f>
        <v>1.9000000000000001E-4</v>
      </c>
      <c r="E48">
        <f t="shared" ref="E48" si="10">AVERAGE(E46:E47)</f>
        <v>3.7965E-3</v>
      </c>
      <c r="F48">
        <f t="shared" ref="F48" si="11">AVERAGE(F46:F47)</f>
        <v>0.14092650000000001</v>
      </c>
      <c r="G48">
        <f t="shared" ref="G48" si="12">AVERAGE(G46:G47)</f>
        <v>1.2277985</v>
      </c>
      <c r="H48">
        <f t="shared" ref="H48" si="13">AVERAGE(H46:H47)</f>
        <v>10.405797</v>
      </c>
    </row>
    <row r="49" spans="1:8">
      <c r="A49" t="s">
        <v>9</v>
      </c>
      <c r="B49">
        <f t="shared" ref="B49" si="14">(2*32^3)/B48/1000000000</f>
        <v>2.9127111111111113</v>
      </c>
      <c r="C49">
        <f t="shared" ref="C49" si="15">(2*64^3)/C48/1000000000</f>
        <v>7.1331700680272112</v>
      </c>
      <c r="D49">
        <f t="shared" ref="D49" si="16">(2*256^3)/D48/1000000000</f>
        <v>176.6022736842105</v>
      </c>
      <c r="E49">
        <f t="shared" ref="E49" si="17">(2*1024^3)/E48/1000000000</f>
        <v>565.64826761490849</v>
      </c>
      <c r="F49">
        <f t="shared" ref="F49" si="18">(2*4096^3)/F48/1000000000</f>
        <v>975.25272728691891</v>
      </c>
      <c r="G49">
        <f>(2*8192^3)/G48/1000000000</f>
        <v>895.51471823430313</v>
      </c>
      <c r="H49">
        <f>(2*16384^3)/H48/1000000000</f>
        <v>845.30699784053058</v>
      </c>
    </row>
    <row r="50" spans="1:8">
      <c r="A50" t="s">
        <v>20</v>
      </c>
    </row>
    <row r="51" spans="1:8">
      <c r="A51" t="s">
        <v>21</v>
      </c>
    </row>
    <row r="52" spans="1:8">
      <c r="A52" t="s">
        <v>0</v>
      </c>
      <c r="B52" t="s">
        <v>2</v>
      </c>
      <c r="C52" t="s">
        <v>4</v>
      </c>
      <c r="D52" t="s">
        <v>5</v>
      </c>
      <c r="E52" t="s">
        <v>6</v>
      </c>
      <c r="F52" t="s">
        <v>7</v>
      </c>
      <c r="G52" t="s">
        <v>17</v>
      </c>
      <c r="H52" t="s">
        <v>8</v>
      </c>
    </row>
    <row r="53" spans="1:8">
      <c r="A53" t="s">
        <v>3</v>
      </c>
      <c r="B53">
        <v>2.3E-5</v>
      </c>
      <c r="C53">
        <v>6.2000000000000003E-5</v>
      </c>
      <c r="D53">
        <v>1.4899999999999999E-4</v>
      </c>
      <c r="E53">
        <v>3.418E-3</v>
      </c>
      <c r="F53">
        <v>0.144958</v>
      </c>
      <c r="G53">
        <v>1.843424</v>
      </c>
      <c r="H53">
        <v>13.947933000000001</v>
      </c>
    </row>
    <row r="54" spans="1:8">
      <c r="B54">
        <v>2.3E-5</v>
      </c>
      <c r="C54">
        <v>6.3E-5</v>
      </c>
      <c r="D54">
        <v>1.63E-4</v>
      </c>
      <c r="E54">
        <v>3.3119999999999998E-3</v>
      </c>
      <c r="F54">
        <v>0.146506</v>
      </c>
      <c r="G54">
        <v>1.932984</v>
      </c>
      <c r="H54">
        <v>13.701635</v>
      </c>
    </row>
    <row r="55" spans="1:8">
      <c r="A55" t="s">
        <v>1</v>
      </c>
      <c r="B55">
        <f>AVERAGE(B53:B54)</f>
        <v>2.3E-5</v>
      </c>
      <c r="C55">
        <f t="shared" ref="C55" si="19">AVERAGE(C53:C54)</f>
        <v>6.2500000000000001E-5</v>
      </c>
      <c r="D55">
        <f t="shared" ref="D55" si="20">AVERAGE(D53:D54)</f>
        <v>1.56E-4</v>
      </c>
      <c r="E55">
        <f t="shared" ref="E55" si="21">AVERAGE(E53:E54)</f>
        <v>3.3649999999999999E-3</v>
      </c>
      <c r="F55">
        <f t="shared" ref="F55" si="22">AVERAGE(F53:F54)</f>
        <v>0.145732</v>
      </c>
      <c r="G55">
        <f t="shared" ref="G55" si="23">AVERAGE(G53:G54)</f>
        <v>1.888204</v>
      </c>
      <c r="H55">
        <f t="shared" ref="H55" si="24">AVERAGE(H53:H54)</f>
        <v>13.824784000000001</v>
      </c>
    </row>
    <row r="56" spans="1:8">
      <c r="A56" t="s">
        <v>9</v>
      </c>
      <c r="B56">
        <f t="shared" ref="B56" si="25">(2*32^3)/B55/1000000000</f>
        <v>2.8493913043478258</v>
      </c>
      <c r="C56">
        <f t="shared" ref="C56" si="26">(2*64^3)/C55/1000000000</f>
        <v>8.3886079999999996</v>
      </c>
      <c r="D56">
        <f t="shared" ref="D56" si="27">(2*256^3)/D55/1000000000</f>
        <v>215.09251282051281</v>
      </c>
      <c r="E56">
        <f t="shared" ref="E56" si="28">(2*1024^3)/E55/1000000000</f>
        <v>638.18236196136706</v>
      </c>
      <c r="F56">
        <f t="shared" ref="F56" si="29">(2*4096^3)/F55/1000000000</f>
        <v>943.09385359426892</v>
      </c>
      <c r="G56">
        <f>(2*8192^3)/G55/1000000000</f>
        <v>582.30552830944112</v>
      </c>
      <c r="H56">
        <f>(2*16384^3)/H55/1000000000</f>
        <v>636.25536733217677</v>
      </c>
    </row>
    <row r="59" spans="1:8">
      <c r="A59" t="s">
        <v>22</v>
      </c>
      <c r="B59">
        <f>(2*32^3/8)/B41/1000000000</f>
        <v>0.3723636363636364</v>
      </c>
      <c r="C59">
        <f>(2*64^3/8)/C41/1000000000</f>
        <v>1.024</v>
      </c>
      <c r="D59">
        <f>(2*64^3/8)/D41/1000000000</f>
        <v>0.37130878186968841</v>
      </c>
      <c r="E59">
        <f>(2*1024^3/8)/E41/1000000000</f>
        <v>78.26106588921283</v>
      </c>
      <c r="F59">
        <f>(2*4096^3/8)/F41/1000000000</f>
        <v>144.77072191253862</v>
      </c>
      <c r="G59">
        <f>(2*8192^3/8)/G41/1000000000</f>
        <v>154.9239841738264</v>
      </c>
      <c r="H59">
        <f>(2*16384^3/8)/H41/1000000000</f>
        <v>166.93524222677567</v>
      </c>
    </row>
    <row r="60" spans="1:8">
      <c r="A60" t="s">
        <v>23</v>
      </c>
      <c r="B60">
        <f>(2*32^3/8)/B48/1000000000</f>
        <v>0.36408888888888891</v>
      </c>
      <c r="C60">
        <f>(2*64^3/8)/C48/1000000000</f>
        <v>0.8916462585034014</v>
      </c>
      <c r="D60">
        <f>(2*64^3/8)/D48/1000000000</f>
        <v>0.34492631578947364</v>
      </c>
      <c r="E60">
        <f>(2*1024^3/8)/E48/1000000000</f>
        <v>70.706033451863561</v>
      </c>
      <c r="F60">
        <f>(2*4096^3/8)/F48/1000000000</f>
        <v>121.90659091086486</v>
      </c>
      <c r="G60">
        <f>(2*8192^3/8)/G48/1000000000</f>
        <v>111.93933977928789</v>
      </c>
      <c r="H60">
        <f>(2*16384^3/8)/H48/1000000000</f>
        <v>105.66337473006632</v>
      </c>
    </row>
    <row r="61" spans="1:8">
      <c r="A61" t="s">
        <v>24</v>
      </c>
      <c r="B61">
        <f>(2*32^3/8)/B55/1000000000</f>
        <v>0.35617391304347823</v>
      </c>
      <c r="C61">
        <f>(2*64^3/8)/C55/1000000000</f>
        <v>1.048576</v>
      </c>
      <c r="D61">
        <f>(2*64^3/8)/D55/1000000000</f>
        <v>0.42010256410256408</v>
      </c>
      <c r="E61">
        <f>(2*1024^3/8)/E55/1000000000</f>
        <v>79.772795245170883</v>
      </c>
      <c r="F61">
        <f>(2*4096^3/8)/F55/1000000000</f>
        <v>117.88673169928362</v>
      </c>
      <c r="G61">
        <f>(2*8192^3/8)/G55/1000000000</f>
        <v>72.788191038680139</v>
      </c>
      <c r="H61">
        <f>(2*16384^3/8)/H55/1000000000</f>
        <v>79.531920916522097</v>
      </c>
    </row>
  </sheetData>
  <phoneticPr fontId="1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Oostema</dc:creator>
  <cp:lastModifiedBy>Peter Oostema</cp:lastModifiedBy>
  <dcterms:created xsi:type="dcterms:W3CDTF">2017-06-12T14:51:12Z</dcterms:created>
  <dcterms:modified xsi:type="dcterms:W3CDTF">2017-06-23T21:37:44Z</dcterms:modified>
</cp:coreProperties>
</file>