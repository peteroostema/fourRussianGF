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0" yWindow="-20" windowWidth="14760" windowHeight="14680" tabRatio="500" activeTab="1"/>
  </bookViews>
  <sheets>
    <sheet name="Sheet1" sheetId="1" r:id="rId1"/>
    <sheet name="bit Pack vs Slice" sheetId="2" r:id="rId2"/>
    <sheet name="Sheet3" sheetId="3" r:id="rId3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C10" i="1"/>
  <c r="C9"/>
  <c r="C8"/>
  <c r="C7"/>
  <c r="C6"/>
  <c r="C5"/>
  <c r="C4"/>
  <c r="C3"/>
</calcChain>
</file>

<file path=xl/sharedStrings.xml><?xml version="1.0" encoding="utf-8"?>
<sst xmlns="http://schemas.openxmlformats.org/spreadsheetml/2006/main" count="25" uniqueCount="17">
  <si>
    <t>GF5 matrix multiply</t>
    <phoneticPr fontId="2" type="noConversion"/>
  </si>
  <si>
    <t>size</t>
    <phoneticPr fontId="2" type="noConversion"/>
  </si>
  <si>
    <t>Square Matrix</t>
    <phoneticPr fontId="2" type="noConversion"/>
  </si>
  <si>
    <t>Time in cycles</t>
    <phoneticPr fontId="2" type="noConversion"/>
  </si>
  <si>
    <t>red indicates slower than test meathod</t>
    <phoneticPr fontId="2" type="noConversion"/>
  </si>
  <si>
    <t>log5 t</t>
    <phoneticPr fontId="2" type="noConversion"/>
  </si>
  <si>
    <t>green best result</t>
    <phoneticPr fontId="2" type="noConversion"/>
  </si>
  <si>
    <t>n, m ,l</t>
    <phoneticPr fontId="2" type="noConversion"/>
  </si>
  <si>
    <t>Packed</t>
    <phoneticPr fontId="2" type="noConversion"/>
  </si>
  <si>
    <t>Sliced</t>
    <phoneticPr fontId="2" type="noConversion"/>
  </si>
  <si>
    <t>GF5 Matrix Multiply with Four Russian and t=2</t>
    <phoneticPr fontId="2" type="noConversion"/>
  </si>
  <si>
    <t>Time to make A and B</t>
    <phoneticPr fontId="2" type="noConversion"/>
  </si>
  <si>
    <t>packed</t>
    <phoneticPr fontId="2" type="noConversion"/>
  </si>
  <si>
    <t>sliced</t>
    <phoneticPr fontId="2" type="noConversion"/>
  </si>
  <si>
    <t>t2</t>
    <phoneticPr fontId="2" type="noConversion"/>
  </si>
  <si>
    <t>t4</t>
    <phoneticPr fontId="2" type="noConversion"/>
  </si>
  <si>
    <t>t1</t>
    <phoneticPr fontId="2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</si>
</sst>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0"/>
      <name val="Verdana"/>
    </font>
    <font>
      <sz val="10"/>
      <name val="Verdana"/>
    </font>
    <font>
      <sz val="8"/>
      <name val="Verdana"/>
    </font>
    <font>
      <sz val="10"/>
      <color indexed="10"/>
      <name val="Verdana"/>
    </font>
    <font>
      <sz val="10"/>
      <color indexed="11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G10"/>
  <sheetViews>
    <sheetView view="pageLayout" workbookViewId="0">
      <selection activeCell="A3" sqref="A3:A10"/>
    </sheetView>
  </sheetViews>
  <sheetFormatPr baseColWidth="10" defaultRowHeight="13"/>
  <cols>
    <col min="1" max="1" width="11.140625" customWidth="1"/>
    <col min="3" max="3" width="12.42578125" customWidth="1"/>
    <col min="4" max="4" width="13" customWidth="1"/>
    <col min="5" max="5" width="13.5703125" customWidth="1"/>
    <col min="6" max="6" width="12.140625" customWidth="1"/>
  </cols>
  <sheetData>
    <row r="1" spans="1:7">
      <c r="A1" t="s">
        <v>0</v>
      </c>
    </row>
    <row r="2" spans="1:7">
      <c r="B2" t="s">
        <v>7</v>
      </c>
      <c r="C2" t="s">
        <v>5</v>
      </c>
      <c r="D2">
        <v>1</v>
      </c>
      <c r="E2">
        <v>2</v>
      </c>
      <c r="F2">
        <v>4</v>
      </c>
    </row>
    <row r="3" spans="1:7">
      <c r="A3" t="s">
        <v>2</v>
      </c>
      <c r="B3">
        <v>16</v>
      </c>
      <c r="C3">
        <f>LOG(B3,5)</f>
        <v>1.7227062322935722</v>
      </c>
      <c r="D3" s="3">
        <v>3441</v>
      </c>
      <c r="E3" s="1">
        <v>8333</v>
      </c>
      <c r="F3" s="1">
        <v>58171</v>
      </c>
      <c r="G3" s="1" t="s">
        <v>4</v>
      </c>
    </row>
    <row r="4" spans="1:7">
      <c r="A4" t="s">
        <v>1</v>
      </c>
      <c r="B4">
        <v>32</v>
      </c>
      <c r="C4">
        <f t="shared" ref="C4:C10" si="0">LOG(B4,5)</f>
        <v>2.1533827903669653</v>
      </c>
      <c r="D4" s="3">
        <v>17629</v>
      </c>
      <c r="E4">
        <v>25751</v>
      </c>
      <c r="F4" s="1">
        <v>177526</v>
      </c>
    </row>
    <row r="5" spans="1:7">
      <c r="B5">
        <v>128</v>
      </c>
      <c r="C5">
        <f t="shared" si="0"/>
        <v>3.0147359065137516</v>
      </c>
      <c r="D5">
        <v>945785</v>
      </c>
      <c r="E5" s="3">
        <v>628296</v>
      </c>
      <c r="F5" s="2">
        <v>2532719</v>
      </c>
      <c r="G5" s="3" t="s">
        <v>6</v>
      </c>
    </row>
    <row r="6" spans="1:7">
      <c r="B6">
        <v>512</v>
      </c>
      <c r="C6">
        <f t="shared" si="0"/>
        <v>3.8760890226605378</v>
      </c>
      <c r="D6">
        <v>21189086</v>
      </c>
      <c r="E6" s="3">
        <v>13159989</v>
      </c>
      <c r="F6">
        <v>41720218</v>
      </c>
    </row>
    <row r="7" spans="1:7">
      <c r="B7">
        <v>1024</v>
      </c>
      <c r="C7">
        <f t="shared" si="0"/>
        <v>4.3067655807339307</v>
      </c>
      <c r="D7">
        <v>179790424</v>
      </c>
      <c r="E7" s="3">
        <v>99167534</v>
      </c>
      <c r="F7">
        <v>176805524</v>
      </c>
    </row>
    <row r="8" spans="1:7">
      <c r="B8">
        <v>2048</v>
      </c>
      <c r="C8">
        <f t="shared" si="0"/>
        <v>4.7374421388073236</v>
      </c>
      <c r="D8">
        <v>1275515550</v>
      </c>
      <c r="E8" s="3">
        <v>682183292</v>
      </c>
      <c r="F8">
        <v>816098148</v>
      </c>
    </row>
    <row r="9" spans="1:7">
      <c r="B9">
        <v>4096</v>
      </c>
      <c r="C9">
        <f t="shared" si="0"/>
        <v>5.1681186968807165</v>
      </c>
      <c r="D9">
        <v>10056783300</v>
      </c>
      <c r="E9">
        <v>5391406930</v>
      </c>
      <c r="F9" s="3">
        <v>4602166654</v>
      </c>
    </row>
    <row r="10" spans="1:7">
      <c r="A10" t="s">
        <v>3</v>
      </c>
      <c r="B10">
        <v>8192</v>
      </c>
      <c r="C10">
        <f t="shared" si="0"/>
        <v>5.5987952549541093</v>
      </c>
      <c r="D10">
        <v>85737157210</v>
      </c>
      <c r="E10">
        <v>44442702654</v>
      </c>
      <c r="F10" s="3">
        <v>29184000058</v>
      </c>
    </row>
  </sheetData>
  <sheetCalcPr fullCalcOnLoad="1"/>
  <phoneticPr fontId="2" type="noConversion"/>
  <pageMargins left="0.75" right="0.75" top="1" bottom="1" header="0.5" footer="0.5"/>
  <pageSetup orientation="landscape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G11"/>
  <sheetViews>
    <sheetView tabSelected="1" view="pageLayout" workbookViewId="0">
      <selection activeCell="B10" sqref="B10:B11"/>
    </sheetView>
  </sheetViews>
  <sheetFormatPr baseColWidth="10" defaultRowHeight="13"/>
  <cols>
    <col min="3" max="3" width="12.140625" customWidth="1"/>
    <col min="4" max="4" width="12.42578125" customWidth="1"/>
  </cols>
  <sheetData>
    <row r="1" spans="1:7">
      <c r="A1" t="s">
        <v>10</v>
      </c>
    </row>
    <row r="2" spans="1:7">
      <c r="B2" t="s">
        <v>7</v>
      </c>
      <c r="C2" t="s">
        <v>8</v>
      </c>
      <c r="D2" t="s">
        <v>9</v>
      </c>
      <c r="F2" s="1"/>
    </row>
    <row r="3" spans="1:7">
      <c r="A3" t="s">
        <v>2</v>
      </c>
      <c r="B3">
        <v>16</v>
      </c>
      <c r="C3">
        <v>8606</v>
      </c>
      <c r="D3">
        <v>59617</v>
      </c>
      <c r="E3" s="1"/>
    </row>
    <row r="4" spans="1:7">
      <c r="A4" t="s">
        <v>1</v>
      </c>
      <c r="B4">
        <v>32</v>
      </c>
      <c r="C4">
        <v>24804</v>
      </c>
      <c r="D4">
        <v>72758</v>
      </c>
      <c r="E4" s="1"/>
      <c r="F4" s="3"/>
    </row>
    <row r="5" spans="1:7">
      <c r="B5">
        <v>128</v>
      </c>
      <c r="C5">
        <v>626770</v>
      </c>
      <c r="D5">
        <v>655430</v>
      </c>
      <c r="E5" s="2"/>
      <c r="F5" s="3"/>
    </row>
    <row r="6" spans="1:7">
      <c r="B6">
        <v>512</v>
      </c>
      <c r="C6">
        <v>12388734</v>
      </c>
      <c r="D6">
        <v>15628248</v>
      </c>
      <c r="F6" s="3"/>
    </row>
    <row r="7" spans="1:7">
      <c r="B7">
        <v>1024</v>
      </c>
      <c r="C7">
        <v>107578837</v>
      </c>
      <c r="D7">
        <v>117834864</v>
      </c>
      <c r="F7" s="3"/>
    </row>
    <row r="8" spans="1:7">
      <c r="B8">
        <v>2048</v>
      </c>
      <c r="C8">
        <v>687342090</v>
      </c>
      <c r="D8">
        <v>812215828</v>
      </c>
    </row>
    <row r="9" spans="1:7">
      <c r="B9">
        <v>4096</v>
      </c>
      <c r="C9">
        <v>5441290644</v>
      </c>
      <c r="D9">
        <v>5343749074</v>
      </c>
      <c r="E9" s="3"/>
      <c r="F9" t="s">
        <v>11</v>
      </c>
    </row>
    <row r="10" spans="1:7">
      <c r="B10">
        <v>8192</v>
      </c>
      <c r="C10">
        <v>42443730910</v>
      </c>
      <c r="D10">
        <v>39351245446</v>
      </c>
      <c r="E10" s="3"/>
      <c r="F10" t="s">
        <v>12</v>
      </c>
      <c r="G10" t="s">
        <v>13</v>
      </c>
    </row>
    <row r="11" spans="1:7">
      <c r="A11" t="s">
        <v>3</v>
      </c>
      <c r="B11">
        <v>16384</v>
      </c>
      <c r="C11">
        <v>328344738922</v>
      </c>
      <c r="D11">
        <v>302999093382</v>
      </c>
      <c r="E11" s="1"/>
      <c r="F11">
        <v>9021768646</v>
      </c>
      <c r="G11">
        <v>9350050288</v>
      </c>
    </row>
  </sheetData>
  <sheetCalcPr fullCalcOnLoad="1"/>
  <phoneticPr fontId="2" type="noConversion"/>
  <pageMargins left="0.75" right="0.75" top="1" bottom="1" header="0.5" footer="0.5"/>
  <pageSetup orientation="landscape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19"/>
  <sheetViews>
    <sheetView view="pageLayout" workbookViewId="0">
      <selection activeCell="G2" sqref="G2"/>
    </sheetView>
  </sheetViews>
  <sheetFormatPr baseColWidth="10" defaultRowHeight="13"/>
  <sheetData>
    <row r="1" spans="1:5">
      <c r="A1" t="s">
        <v>0</v>
      </c>
    </row>
    <row r="2" spans="1:5">
      <c r="B2" t="s">
        <v>7</v>
      </c>
      <c r="C2" t="s">
        <v>16</v>
      </c>
      <c r="D2" t="s">
        <v>14</v>
      </c>
      <c r="E2" t="s">
        <v>15</v>
      </c>
    </row>
    <row r="3" spans="1:5">
      <c r="A3" t="s">
        <v>2</v>
      </c>
      <c r="B3">
        <v>64</v>
      </c>
      <c r="C3">
        <v>107266</v>
      </c>
      <c r="D3">
        <v>138492</v>
      </c>
      <c r="E3">
        <v>1434356</v>
      </c>
    </row>
    <row r="4" spans="1:5">
      <c r="A4" t="s">
        <v>1</v>
      </c>
      <c r="C4">
        <v>107078</v>
      </c>
      <c r="D4">
        <v>138492</v>
      </c>
      <c r="E4">
        <v>1329452</v>
      </c>
    </row>
    <row r="5" spans="1:5">
      <c r="B5">
        <v>128</v>
      </c>
      <c r="C5">
        <v>312301</v>
      </c>
      <c r="D5">
        <v>279434</v>
      </c>
      <c r="E5">
        <v>1760990</v>
      </c>
    </row>
    <row r="6" spans="1:5">
      <c r="C6">
        <v>376853</v>
      </c>
      <c r="D6">
        <v>285188</v>
      </c>
      <c r="E6">
        <v>1676395</v>
      </c>
    </row>
    <row r="7" spans="1:5">
      <c r="B7">
        <v>256</v>
      </c>
      <c r="C7">
        <v>1244771</v>
      </c>
      <c r="D7">
        <v>787853</v>
      </c>
      <c r="E7">
        <v>2847676</v>
      </c>
    </row>
    <row r="8" spans="1:5">
      <c r="C8">
        <v>1157145</v>
      </c>
      <c r="D8">
        <v>787196</v>
      </c>
      <c r="E8">
        <v>2750263</v>
      </c>
    </row>
    <row r="9" spans="1:5">
      <c r="B9">
        <v>512</v>
      </c>
      <c r="C9">
        <v>7514086</v>
      </c>
      <c r="D9">
        <v>4103362</v>
      </c>
      <c r="E9">
        <v>10237066</v>
      </c>
    </row>
    <row r="10" spans="1:5">
      <c r="C10">
        <v>7584662</v>
      </c>
      <c r="D10">
        <v>5191766</v>
      </c>
      <c r="E10">
        <v>10613674</v>
      </c>
    </row>
    <row r="11" spans="1:5">
      <c r="B11">
        <v>1024</v>
      </c>
      <c r="C11">
        <v>49506525</v>
      </c>
      <c r="D11">
        <v>29772450</v>
      </c>
      <c r="E11">
        <v>56784953</v>
      </c>
    </row>
    <row r="12" spans="1:5">
      <c r="C12">
        <v>54771375</v>
      </c>
      <c r="D12">
        <v>27714430</v>
      </c>
      <c r="E12">
        <v>74309902</v>
      </c>
    </row>
    <row r="13" spans="1:5">
      <c r="B13">
        <v>2048</v>
      </c>
      <c r="C13">
        <v>317481086</v>
      </c>
      <c r="D13">
        <v>212969900</v>
      </c>
      <c r="E13">
        <v>289640172</v>
      </c>
    </row>
    <row r="14" spans="1:5">
      <c r="C14">
        <v>332397145</v>
      </c>
      <c r="D14">
        <v>222449144</v>
      </c>
      <c r="E14">
        <v>314680432</v>
      </c>
    </row>
    <row r="15" spans="1:5">
      <c r="B15">
        <v>8192</v>
      </c>
      <c r="C15">
        <v>21670841265</v>
      </c>
      <c r="D15">
        <v>10931380752</v>
      </c>
      <c r="E15">
        <v>9853085618</v>
      </c>
    </row>
    <row r="16" spans="1:5">
      <c r="C16">
        <v>20977208924</v>
      </c>
      <c r="D16">
        <v>11795408187</v>
      </c>
      <c r="E16">
        <v>11475976034</v>
      </c>
    </row>
    <row r="17" spans="2:5">
      <c r="B17">
        <v>16384</v>
      </c>
      <c r="D17">
        <v>99969425946</v>
      </c>
      <c r="E17">
        <v>81028854283</v>
      </c>
    </row>
    <row r="18" spans="2:5">
      <c r="D18">
        <v>100827318254</v>
      </c>
      <c r="E18">
        <v>80856862202</v>
      </c>
    </row>
    <row r="19" spans="2:5">
      <c r="B19">
        <v>32768</v>
      </c>
      <c r="D19">
        <v>970945915410</v>
      </c>
      <c r="E19">
        <v>660210962128</v>
      </c>
    </row>
  </sheetData>
  <sheetCalcPr fullCalcOnLoad="1"/>
  <phoneticPr fontId="2" type="noConversion"/>
  <pageMargins left="0.75" right="0.75" top="1" bottom="1" header="0.5" footer="0.5"/>
  <pageSetup orientation="landscape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bit Pack vs Slice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Oostema</dc:creator>
  <cp:lastModifiedBy>Peter Oostema</cp:lastModifiedBy>
  <dcterms:created xsi:type="dcterms:W3CDTF">2017-07-10T15:12:27Z</dcterms:created>
  <dcterms:modified xsi:type="dcterms:W3CDTF">2017-07-25T14:23:59Z</dcterms:modified>
</cp:coreProperties>
</file>